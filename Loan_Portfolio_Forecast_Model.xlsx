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ortfolio Summary" sheetId="2" state="visible" r:id="rId4"/>
    <sheet name="Assumptions" sheetId="3" state="visible" r:id="rId5"/>
    <sheet name="Revenue Forecast" sheetId="4" state="visible" r:id="rId6"/>
    <sheet name="Sensitivity Analysis" sheetId="5" state="visible" r:id="rId7"/>
    <sheet name="Dashbo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<sst xmlns="http://schemas.openxmlformats.org/spreadsheetml/2006/main" count="91" uniqueCount="77">
  <si>
    <t xml:space="preserve">Loan Portfolio Revenue Forecast &amp; Scenario Model</t>
  </si>
  <si>
    <t xml:space="preserve">Forecasts 12-month net interest income for a small-business/professional loan portfolio, segmented by credit tier, with a scenario toggle (Base / Best / Stress) and a rate x delinquency sensitivity grid.</t>
  </si>
  <si>
    <t xml:space="preserve">How to use this workbook</t>
  </si>
  <si>
    <t xml:space="preserve">1. Portfolio Summary — starting balance, rate, and delinquency rate by credit tier (sourced from loan_portfolio.csv).</t>
  </si>
  <si>
    <t xml:space="preserve">2. Assumptions — scenario levers (yellow cells). Change the 'Selected Scenario' dropdown to switch Base / Best / Stress.</t>
  </si>
  <si>
    <t xml:space="preserve">3. Revenue Forecast — 12-month projection driven by the selected scenario; updates automatically.</t>
  </si>
  <si>
    <t xml:space="preserve">4. Sensitivity Analysis — a rate-shift x delinquency-stress grid showing Year-1 net interest income under each combination.</t>
  </si>
  <si>
    <t xml:space="preserve">5. Dashboard — chart and KPI summary of the forecast.</t>
  </si>
  <si>
    <t xml:space="preserve">Legend</t>
  </si>
  <si>
    <t xml:space="preserve">Blue text</t>
  </si>
  <si>
    <t xml:space="preserve">hardcoded input, sourced from data or stated assumption</t>
  </si>
  <si>
    <t xml:space="preserve">Black text</t>
  </si>
  <si>
    <t xml:space="preserve">formula</t>
  </si>
  <si>
    <t xml:space="preserve">Yellow fill</t>
  </si>
  <si>
    <t xml:space="preserve">scenario lever — change these to test alternate assumptions</t>
  </si>
  <si>
    <t xml:space="preserve">Note: portfolio inputs are derived from a synthetically generated dataset (see the companion GitHub repo, loan-portfolio-risk) for demonstration purposes, not real lending data.</t>
  </si>
  <si>
    <t xml:space="preserve">Portfolio Summary — Starting Position</t>
  </si>
  <si>
    <t xml:space="preserve">Source: loan_portfolio.csv (synthetic dataset, 8,000 loans) — see loan-portfolio-risk repo</t>
  </si>
  <si>
    <t xml:space="preserve">Credit Tier</t>
  </si>
  <si>
    <t xml:space="preserve">Loan Count</t>
  </si>
  <si>
    <t xml:space="preserve">Outstanding Balance ($)</t>
  </si>
  <si>
    <t xml:space="preserve">Weighted Avg Rate</t>
  </si>
  <si>
    <t xml:space="preserve">Delinquency Rate</t>
  </si>
  <si>
    <t xml:space="preserve">Prime</t>
  </si>
  <si>
    <t xml:space="preserve">Near-Prime</t>
  </si>
  <si>
    <t xml:space="preserve">Subprime</t>
  </si>
  <si>
    <t xml:space="preserve">Total / Blended</t>
  </si>
  <si>
    <t xml:space="preserve">Scenario Assumptions</t>
  </si>
  <si>
    <t xml:space="preserve">Selected Scenario:</t>
  </si>
  <si>
    <t xml:space="preserve">Base</t>
  </si>
  <si>
    <t xml:space="preserve">Scenario</t>
  </si>
  <si>
    <t xml:space="preserve">Monthly Volume Growth</t>
  </si>
  <si>
    <t xml:space="preserve">Rate Shift (bps)</t>
  </si>
  <si>
    <t xml:space="preserve">Delinquency Stress Multiplier</t>
  </si>
  <si>
    <t xml:space="preserve">Best</t>
  </si>
  <si>
    <t xml:space="preserve">Stress</t>
  </si>
  <si>
    <t xml:space="preserve">Active scenario values (pulled via INDEX/MATCH from the selected scenario above):</t>
  </si>
  <si>
    <t xml:space="preserve">Assumptions are illustrative for demonstration. Base case volume growth and rate-shift levers are stated assumptions, not fitted to historical performance.</t>
  </si>
  <si>
    <t xml:space="preserve">12-Month Net Interest Income Forecast</t>
  </si>
  <si>
    <t xml:space="preserve">Start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</si>
  <si>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</si>
  <si>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</si>
  <si>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</si>
  <si>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</si>
  <si>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</si>
  <si>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</si>
  <si>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Month 7</t>
  </si>
  <si>
    <t xml:space="preserve">Month 8</t>
  </si>
  <si>
    <t xml:space="preserve">Month 9</t>
  </si>
  <si>
    <t xml:space="preserve">Month 10</t>
  </si>
  <si>
    <t xml:space="preserve">Month 11</t>
  </si>
  <si>
    <t xml:space="preserve">Month 12</t>
  </si>
  <si>
    <t xml:space="preserve">Total Balance</t>
  </si>
  <si>
    <t xml:space="preserve">Net Interest Income (Monthly)</t>
  </si>
  <si>
    <t xml:space="preserve">Effective Annual Rate by Tier (rate + scenario shift)</t>
  </si>
  <si>
    <t xml:space="preserve">Stressed Delinquency Rate by Tier</t>
  </si>
  <si>
    <t xml:space="preserve">Cumulative Net Interest Income</t>
  </si>
  <si>
    <t xml:space="preserve">Year-1 Net Interest Income Sensitivity</t>
  </si>
  <si>
    <t xml:space="preserve">Rows: delinquency stress multiplier · Columns: rate shift (bps) · Values: Year-1 total NII</t>
  </si>
  <si>
    <t xml:space="preserve">Delinq. Stress \ Rate Shift</t>
  </si>
  <si>
    <t xml:space="preserve">-100 bps</t>
  </si>
  <si>
    <t xml:space="preserve">-50 bps</t>
  </si>
  <si>
    <t xml:space="preserve">0 bps</t>
  </si>
  <si>
    <t xml:space="preserve">+100 bps</t>
  </si>
  <si>
    <t xml:space="preserve">+200 bps</t>
  </si>
  <si>
    <t xml:space="preserve">0.80x</t>
  </si>
  <si>
    <t xml:space="preserve">1.00x</t>
  </si>
  <si>
    <t xml:space="preserve">1.20x</t>
  </si>
  <si>
    <t xml:space="preserve">1.40x</t>
  </si>
  <si>
    <t xml:space="preserve">1.60x</t>
  </si>
  <si>
    <t xml:space="preserve">Read as: rate shift and delinquency stress are independent levers (not a single combined 'good/bad' axis). At this portfolio's rate and delinquency levels, a +200 bps rate increase raises NII by more than 1.60x delinquency stress erodes it — so the bottom-right cell can exceed the 0 bps / 1.00x base case (row 6, middle column). That's a real finding: this book's revenue is more rate-sensitive than delinquency-sensitive in the ranges tested, which is useful context for how a rate-rising vs. credit-deteriorating environment would actually affect the portfolio differently.</t>
  </si>
  <si>
    <t xml:space="preserve">Portfolio Forecast Dashboard</t>
  </si>
  <si>
    <t xml:space="preserve">Starting Total Balance</t>
  </si>
  <si>
    <t xml:space="preserve">Month-12 Total Balance</t>
  </si>
  <si>
    <t xml:space="preserve">Year-1 Net Interest Income</t>
  </si>
  <si>
    <t xml:space="preserve">Blended Starting Rate</t>
  </si>
  <si>
    <t xml:space="preserve">Blended Starting Delinquency Rate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</si>
</sst>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\$#,##0;&quot;($&quot;#,##0\);\-"/>
    <numFmt numFmtId="167" formatCode="0.0%"/>
    <numFmt numFmtId="168" formatCode="0&quot; bps&quot;"/>
    <numFmt numFmtId="169" formatCode="0.00\x"/>
    <numFmt numFmtId="170" formatCode="0.0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3D2E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i val="true"/>
      <sz val="11"/>
      <color rgb="FF0B3D2E"/>
      <name val="Cambria"/>
      <family val="0"/>
      <charset val="1"/>
    </font>
    <font>
      <b val="true"/>
      <sz val="12"/>
      <color rgb="FF0B3D2E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B3D2E"/>
        <bgColor rgb="FF003366"/>
      </patternFill>
    </fill>
    <fill>
      <patternFill patternType="solid">
        <fgColor rgb="FFD9E2D6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2D6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B3D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Net Interest Income — Selected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'Revenue Forecast'!B10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a7ebb"/>
            </a:solidFill>
            <a:ln w="248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Forecast'!$C$4:$N$4</c:f>
              <c:strCache>
                <c:ptCount val="12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</c:strCache>
            </c:strRef>
          </c:cat>
          <c:val>
            <c:numRef>
              <c:f>'Revenue Forecast'!$C$10:$N$10</c:f>
              <c:numCache>
                <c:formatCode>\$#,##0;"($"#,##0\);\-</c:formatCode>
                <c:ptCount val="12"/>
                <c:pt idx="0">
                  <c:v>1514579.799496</c:v>
                </c:pt>
                <c:pt idx="1">
                  <c:v>1529725.59749096</c:v>
                </c:pt>
                <c:pt idx="2">
                  <c:v>1545022.85346587</c:v>
                </c:pt>
                <c:pt idx="3">
                  <c:v>1560473.08200053</c:v>
                </c:pt>
                <c:pt idx="4">
                  <c:v>1576077.81282053</c:v>
                </c:pt>
                <c:pt idx="5">
                  <c:v>1591838.59094874</c:v>
                </c:pt>
                <c:pt idx="6">
                  <c:v>1607756.97685823</c:v>
                </c:pt>
                <c:pt idx="7">
                  <c:v>1623834.54662681</c:v>
                </c:pt>
                <c:pt idx="8">
                  <c:v>1640072.89209308</c:v>
                </c:pt>
                <c:pt idx="9">
                  <c:v>1656473.62101401</c:v>
                </c:pt>
                <c:pt idx="10">
                  <c:v>1673038.35722415</c:v>
                </c:pt>
                <c:pt idx="11">
                  <c:v>1689768.74079639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337598"/>
        <c:axId val="75255062"/>
      </c:lineChart>
      <c:catAx>
        <c:axId val="73375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255062"/>
        <c:crosses val="autoZero"/>
        <c:auto val="1"/>
        <c:lblAlgn val="ctr"/>
        <c:lblOffset val="100"/>
        <c:noMultiLvlLbl val="0"/>
      </c:catAx>
      <c:valAx>
        <c:axId val="752550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Net Interest Income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375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160920</xdr:rowOff>
    </xdr:from>
    <xdr:to>
      <xdr:col>9</xdr:col>
      <xdr:colOff>255960</xdr:colOff>
      <xdr:row>30</xdr:row>
      <xdr:rowOff>119880</xdr:rowOff>
    </xdr:to>
    <xdr:graphicFrame>
      <xdr:nvGraphicFramePr>
        <xdr:cNvPr id="0" name="Chart 1"/>
        <xdr:cNvGraphicFramePr/>
      </xdr:nvGraphicFramePr>
      <xdr:xfrm>
        <a:off x="0" y="190512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17.35" hidden="false" customHeight="false" outlineLevel="0" collapsed="false">
      <c r="A1" s="1" t="s">
        <v>0</v>
      </c>
    </row>
    <row r="3" customFormat="false" ht="45" hidden="false" customHeight="true" outlineLevel="0" collapsed="false">
      <c r="A3" s="2" t="s">
        <v>1</v>
      </c>
      <c r="B3" s="2"/>
      <c r="C3" s="2"/>
      <c r="D3" s="2"/>
      <c r="E3" s="2"/>
      <c r="F3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0" t="s">
        <v>3</v>
      </c>
    </row>
    <row r="7" customFormat="false" ht="15" hidden="false" customHeight="false" outlineLevel="0" collapsed="false">
      <c r="A7" s="0" t="s">
        <v>4</v>
      </c>
    </row>
    <row r="8" customFormat="false" ht="15" hidden="false" customHeight="false" outlineLevel="0" collapsed="false">
      <c r="A8" s="0" t="s">
        <v>5</v>
      </c>
    </row>
    <row r="9" customFormat="false" ht="15" hidden="false" customHeight="false" outlineLevel="0" collapsed="false">
      <c r="A9" s="0" t="s">
        <v>6</v>
      </c>
    </row>
    <row r="10" customFormat="false" ht="15" hidden="false" customHeight="false" outlineLevel="0" collapsed="false">
      <c r="A10" s="0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4" t="s">
        <v>9</v>
      </c>
      <c r="B13" s="5" t="s">
        <v>10</v>
      </c>
    </row>
    <row r="14" customFormat="false" ht="15" hidden="false" customHeight="false" outlineLevel="0" collapsed="false">
      <c r="A14" s="6" t="s">
        <v>11</v>
      </c>
      <c r="B14" s="5" t="s">
        <v>12</v>
      </c>
    </row>
    <row r="15" customFormat="false" ht="15" hidden="false" customHeight="false" outlineLevel="0" collapsed="false">
      <c r="A15" s="7" t="s">
        <v>13</v>
      </c>
      <c r="B15" s="5" t="s">
        <v>14</v>
      </c>
    </row>
    <row r="17" customFormat="false" ht="30" hidden="false" customHeight="true" outlineLevel="0" collapsed="false">
      <c r="A17" s="8" t="s">
        <v>15</v>
      </c>
      <c r="B17" s="8"/>
      <c r="C17" s="8"/>
      <c r="D17" s="8"/>
      <c r="E17" s="8"/>
      <c r="F17" s="8"/>
    </row>
  </sheetData>
  <mergeCells count="2">
    <mergeCell ref="A3:F3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5" min="4" style="0" width="16"/>
  </cols>
  <sheetData>
    <row r="1" customFormat="false" ht="17.35" hidden="false" customHeight="false" outlineLevel="0" collapsed="false">
      <c r="A1" s="1" t="s">
        <v>16</v>
      </c>
    </row>
    <row r="2" customFormat="false" ht="15" hidden="false" customHeight="false" outlineLevel="0" collapsed="false">
      <c r="A2" s="9" t="s">
        <v>17</v>
      </c>
    </row>
    <row r="4" customFormat="false" ht="15" hidden="false" customHeight="false" outlineLevel="0" collapsed="false">
      <c r="A4" s="10" t="s">
        <v>18</v>
      </c>
      <c r="B4" s="10" t="s">
        <v>19</v>
      </c>
      <c r="C4" s="10" t="s">
        <v>20</v>
      </c>
      <c r="D4" s="10" t="s">
        <v>21</v>
      </c>
      <c r="E4" s="10" t="s">
        <v>22</v>
      </c>
    </row>
    <row r="5" customFormat="false" ht="15" hidden="false" customHeight="false" outlineLevel="0" collapsed="false">
      <c r="A5" s="11" t="s">
        <v>23</v>
      </c>
      <c r="B5" s="12" t="n">
        <v>3250</v>
      </c>
      <c r="C5" s="13" t="n">
        <v>142522145.15</v>
      </c>
      <c r="D5" s="14" t="n">
        <v>0.0613</v>
      </c>
      <c r="E5" s="14" t="n">
        <v>0.0978</v>
      </c>
    </row>
    <row r="6" customFormat="false" ht="15" hidden="false" customHeight="false" outlineLevel="0" collapsed="false">
      <c r="A6" s="11" t="s">
        <v>24</v>
      </c>
      <c r="B6" s="12" t="n">
        <v>3018</v>
      </c>
      <c r="C6" s="13" t="n">
        <v>85402697.19</v>
      </c>
      <c r="D6" s="14" t="n">
        <v>0.1061</v>
      </c>
      <c r="E6" s="14" t="n">
        <v>0.1968</v>
      </c>
    </row>
    <row r="7" customFormat="false" ht="15" hidden="false" customHeight="false" outlineLevel="0" collapsed="false">
      <c r="A7" s="11" t="s">
        <v>25</v>
      </c>
      <c r="B7" s="12" t="n">
        <v>1732</v>
      </c>
      <c r="C7" s="13" t="n">
        <v>28221866.75</v>
      </c>
      <c r="D7" s="14" t="n">
        <v>0.1599</v>
      </c>
      <c r="E7" s="14" t="n">
        <v>0.3718</v>
      </c>
    </row>
    <row r="8" customFormat="false" ht="15" hidden="false" customHeight="false" outlineLevel="0" collapsed="false">
      <c r="A8" s="15" t="s">
        <v>26</v>
      </c>
      <c r="B8" s="16" t="n">
        <f aca="false">SUM(B5:B7)</f>
        <v>8000</v>
      </c>
      <c r="C8" s="17" t="n">
        <f aca="false">SUM(C5:C7)</f>
        <v>256146709.09</v>
      </c>
      <c r="D8" s="18" t="n">
        <f aca="false">SUMPRODUCT(D5:D7,C5:C7)/C8</f>
        <v>0.0871005145533217</v>
      </c>
      <c r="E8" s="18" t="n">
        <f aca="false">SUMPRODUCT(E5:E7,C5:C7)/C8</f>
        <v>0.160996824073279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8"/>
  </cols>
  <sheetData>
    <row r="1" customFormat="false" ht="17.35" hidden="false" customHeight="false" outlineLevel="0" collapsed="false">
      <c r="A1" s="1" t="s">
        <v>27</v>
      </c>
    </row>
    <row r="3" customFormat="false" ht="15" hidden="false" customHeight="false" outlineLevel="0" collapsed="false">
      <c r="A3" s="3" t="s">
        <v>28</v>
      </c>
      <c r="B3" s="19" t="s">
        <v>29</v>
      </c>
    </row>
    <row r="6" customFormat="false" ht="15" hidden="false" customHeight="false" outlineLevel="0" collapsed="false">
      <c r="A6" s="10" t="s">
        <v>30</v>
      </c>
      <c r="B6" s="10" t="s">
        <v>31</v>
      </c>
      <c r="C6" s="10" t="s">
        <v>32</v>
      </c>
      <c r="D6" s="10" t="s">
        <v>33</v>
      </c>
    </row>
    <row r="7" customFormat="false" ht="15" hidden="false" customHeight="false" outlineLevel="0" collapsed="false">
      <c r="A7" s="11" t="s">
        <v>29</v>
      </c>
      <c r="B7" s="14" t="n">
        <v>0.01</v>
      </c>
      <c r="C7" s="20" t="n">
        <v>0</v>
      </c>
      <c r="D7" s="21" t="n">
        <v>1</v>
      </c>
    </row>
    <row r="8" customFormat="false" ht="15" hidden="false" customHeight="false" outlineLevel="0" collapsed="false">
      <c r="A8" s="11" t="s">
        <v>34</v>
      </c>
      <c r="B8" s="14" t="n">
        <v>0.02</v>
      </c>
      <c r="C8" s="20" t="n">
        <v>-50</v>
      </c>
      <c r="D8" s="21" t="n">
        <v>0.8</v>
      </c>
    </row>
    <row r="9" customFormat="false" ht="15" hidden="false" customHeight="false" outlineLevel="0" collapsed="false">
      <c r="A9" s="11" t="s">
        <v>35</v>
      </c>
      <c r="B9" s="14" t="n">
        <v>-0.01</v>
      </c>
      <c r="C9" s="20" t="n">
        <v>150</v>
      </c>
      <c r="D9" s="21" t="n">
        <v>1.4</v>
      </c>
    </row>
    <row r="11" customFormat="false" ht="15" hidden="false" customHeight="false" outlineLevel="0" collapsed="false">
      <c r="A11" s="9" t="s">
        <v>36</v>
      </c>
    </row>
    <row r="13" customFormat="false" ht="15" hidden="false" customHeight="false" outlineLevel="0" collapsed="false">
      <c r="A13" s="3" t="s">
        <v>31</v>
      </c>
      <c r="B13" s="22" t="n">
        <f aca="false">INDEX(B7:B9,MATCH($B$3,A7:A9,0))</f>
        <v>0.01</v>
      </c>
    </row>
    <row r="14" customFormat="false" ht="15" hidden="false" customHeight="false" outlineLevel="0" collapsed="false">
      <c r="A14" s="3" t="s">
        <v>32</v>
      </c>
      <c r="B14" s="23" t="n">
        <f aca="false">INDEX(C7:C9,MATCH($B$3,A7:A9,0))</f>
        <v>0</v>
      </c>
    </row>
    <row r="15" customFormat="false" ht="15" hidden="false" customHeight="false" outlineLevel="0" collapsed="false">
      <c r="A15" s="3" t="s">
        <v>33</v>
      </c>
      <c r="B15" s="24" t="n">
        <f aca="false">INDEX(D7:D9,MATCH($B$3,A7:A9,0))</f>
        <v>1</v>
      </c>
    </row>
    <row r="17" customFormat="false" ht="22.35" hidden="false" customHeight="true" outlineLevel="0" collapsed="false">
      <c r="A17" s="8" t="s">
        <v>37</v>
      </c>
      <c r="B17" s="8"/>
      <c r="C17" s="8"/>
      <c r="D17" s="8"/>
    </row>
  </sheetData>
  <mergeCells count="1">
    <mergeCell ref="A17:D17"/>
  </mergeCells>
  <dataValidations count="1">
    <dataValidation allowBlank="false" errorStyle="stop" operator="between" showDropDown="false" showErrorMessage="false" showInputMessage="false" sqref="B3" type="list">
      <formula1>"Base,Best,Stress"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4" min="2" style="0" width="13"/>
  </cols>
  <sheetData>
    <row r="1" customFormat="false" ht="17.35" hidden="false" customHeight="false" outlineLevel="0" collapsed="false">
      <c r="A1" s="1" t="s">
        <v>38</v>
      </c>
    </row>
    <row r="2" customFormat="false" ht="15" hidden="false" customHeight="false" outlineLevel="0" collapsed="false">
      <c r="A2" s="25" t="str">
        <f aca="false">"Scenario: "&amp;Assumptions!$B$3</f>
        <v>Scenario: Base</v>
      </c>
    </row>
    <row r="4" customFormat="false" ht="15" hidden="false" customHeight="false" outlineLevel="0" collapsed="false">
      <c r="A4" s="10" t="s">
        <v>18</v>
      </c>
      <c r="B4" s="10" t="s">
        <v>39</v>
      </c>
      <c r="C4" s="10" t="s">
        <v>40</v>
      </c>
      <c r="D4" s="10" t="s">
        <v>41</v>
      </c>
      <c r="E4" s="10" t="s">
        <v>42</v>
      </c>
      <c r="F4" s="10" t="s">
        <v>43</v>
      </c>
      <c r="G4" s="10" t="s">
        <v>44</v>
      </c>
      <c r="H4" s="10" t="s">
        <v>45</v>
      </c>
      <c r="I4" s="10" t="s">
        <v>46</v>
      </c>
      <c r="J4" s="10" t="s">
        <v>47</v>
      </c>
      <c r="K4" s="10" t="s">
        <v>48</v>
      </c>
      <c r="L4" s="10" t="s">
        <v>49</v>
      </c>
      <c r="M4" s="10" t="s">
        <v>50</v>
      </c>
      <c r="N4" s="10" t="s">
        <v>51</v>
      </c>
    </row>
    <row r="5" customFormat="false" ht="15" hidden="false" customHeight="false" outlineLevel="0" collapsed="false">
      <c r="A5" s="26" t="s">
        <v>23</v>
      </c>
      <c r="B5" s="27" t="n">
        <f aca="false">'Portfolio Summary'!C5</f>
        <v>142522145.15</v>
      </c>
      <c r="C5" s="27" t="n">
        <f aca="false">B5*(1+Assumptions!$B$13)</f>
        <v>143947366.6015</v>
      </c>
      <c r="D5" s="27" t="n">
        <f aca="false">C5*(1+Assumptions!$B$13)</f>
        <v>145386840.267515</v>
      </c>
      <c r="E5" s="27" t="n">
        <f aca="false">D5*(1+Assumptions!$B$13)</f>
        <v>146840708.67019</v>
      </c>
      <c r="F5" s="27" t="n">
        <f aca="false">E5*(1+Assumptions!$B$13)</f>
        <v>148309115.756892</v>
      </c>
      <c r="G5" s="27" t="n">
        <f aca="false">F5*(1+Assumptions!$B$13)</f>
        <v>149792206.914461</v>
      </c>
      <c r="H5" s="27" t="n">
        <f aca="false">G5*(1+Assumptions!$B$13)</f>
        <v>151290128.983606</v>
      </c>
      <c r="I5" s="27" t="n">
        <f aca="false">H5*(1+Assumptions!$B$13)</f>
        <v>152803030.273442</v>
      </c>
      <c r="J5" s="27" t="n">
        <f aca="false">I5*(1+Assumptions!$B$13)</f>
        <v>154331060.576176</v>
      </c>
      <c r="K5" s="27" t="n">
        <f aca="false">J5*(1+Assumptions!$B$13)</f>
        <v>155874371.181938</v>
      </c>
      <c r="L5" s="27" t="n">
        <f aca="false">K5*(1+Assumptions!$B$13)</f>
        <v>157433114.893757</v>
      </c>
      <c r="M5" s="27" t="n">
        <f aca="false">L5*(1+Assumptions!$B$13)</f>
        <v>159007446.042695</v>
      </c>
      <c r="N5" s="27" t="n">
        <f aca="false">M5*(1+Assumptions!$B$13)</f>
        <v>160597520.503122</v>
      </c>
    </row>
    <row r="6" customFormat="false" ht="15" hidden="false" customHeight="false" outlineLevel="0" collapsed="false">
      <c r="A6" s="26" t="s">
        <v>24</v>
      </c>
      <c r="B6" s="27" t="n">
        <f aca="false">'Portfolio Summary'!C6</f>
        <v>85402697.19</v>
      </c>
      <c r="C6" s="27" t="n">
        <f aca="false">B6*(1+Assumptions!$B$13)</f>
        <v>86256724.1619</v>
      </c>
      <c r="D6" s="27" t="n">
        <f aca="false">C6*(1+Assumptions!$B$13)</f>
        <v>87119291.403519</v>
      </c>
      <c r="E6" s="27" t="n">
        <f aca="false">D6*(1+Assumptions!$B$13)</f>
        <v>87990484.3175542</v>
      </c>
      <c r="F6" s="27" t="n">
        <f aca="false">E6*(1+Assumptions!$B$13)</f>
        <v>88870389.1607297</v>
      </c>
      <c r="G6" s="27" t="n">
        <f aca="false">F6*(1+Assumptions!$B$13)</f>
        <v>89759093.052337</v>
      </c>
      <c r="H6" s="27" t="n">
        <f aca="false">G6*(1+Assumptions!$B$13)</f>
        <v>90656683.9828604</v>
      </c>
      <c r="I6" s="27" t="n">
        <f aca="false">H6*(1+Assumptions!$B$13)</f>
        <v>91563250.822689</v>
      </c>
      <c r="J6" s="27" t="n">
        <f aca="false">I6*(1+Assumptions!$B$13)</f>
        <v>92478883.3309159</v>
      </c>
      <c r="K6" s="27" t="n">
        <f aca="false">J6*(1+Assumptions!$B$13)</f>
        <v>93403672.1642251</v>
      </c>
      <c r="L6" s="27" t="n">
        <f aca="false">K6*(1+Assumptions!$B$13)</f>
        <v>94337708.8858673</v>
      </c>
      <c r="M6" s="27" t="n">
        <f aca="false">L6*(1+Assumptions!$B$13)</f>
        <v>95281085.974726</v>
      </c>
      <c r="N6" s="27" t="n">
        <f aca="false">M6*(1+Assumptions!$B$13)</f>
        <v>96233896.8344733</v>
      </c>
    </row>
    <row r="7" customFormat="false" ht="15" hidden="false" customHeight="false" outlineLevel="0" collapsed="false">
      <c r="A7" s="26" t="s">
        <v>25</v>
      </c>
      <c r="B7" s="27" t="n">
        <f aca="false">'Portfolio Summary'!C7</f>
        <v>28221866.75</v>
      </c>
      <c r="C7" s="27" t="n">
        <f aca="false">B7*(1+Assumptions!$B$13)</f>
        <v>28504085.4175</v>
      </c>
      <c r="D7" s="27" t="n">
        <f aca="false">C7*(1+Assumptions!$B$13)</f>
        <v>28789126.271675</v>
      </c>
      <c r="E7" s="27" t="n">
        <f aca="false">D7*(1+Assumptions!$B$13)</f>
        <v>29077017.5343918</v>
      </c>
      <c r="F7" s="27" t="n">
        <f aca="false">E7*(1+Assumptions!$B$13)</f>
        <v>29367787.7097357</v>
      </c>
      <c r="G7" s="27" t="n">
        <f aca="false">F7*(1+Assumptions!$B$13)</f>
        <v>29661465.586833</v>
      </c>
      <c r="H7" s="27" t="n">
        <f aca="false">G7*(1+Assumptions!$B$13)</f>
        <v>29958080.2427014</v>
      </c>
      <c r="I7" s="27" t="n">
        <f aca="false">H7*(1+Assumptions!$B$13)</f>
        <v>30257661.0451284</v>
      </c>
      <c r="J7" s="27" t="n">
        <f aca="false">I7*(1+Assumptions!$B$13)</f>
        <v>30560237.6555797</v>
      </c>
      <c r="K7" s="27" t="n">
        <f aca="false">J7*(1+Assumptions!$B$13)</f>
        <v>30865840.0321355</v>
      </c>
      <c r="L7" s="27" t="n">
        <f aca="false">K7*(1+Assumptions!$B$13)</f>
        <v>31174498.4324568</v>
      </c>
      <c r="M7" s="27" t="n">
        <f aca="false">L7*(1+Assumptions!$B$13)</f>
        <v>31486243.4167814</v>
      </c>
      <c r="N7" s="27" t="n">
        <f aca="false">M7*(1+Assumptions!$B$13)</f>
        <v>31801105.8509492</v>
      </c>
    </row>
    <row r="8" customFormat="false" ht="15" hidden="false" customHeight="false" outlineLevel="0" collapsed="false">
      <c r="A8" s="3" t="s">
        <v>52</v>
      </c>
      <c r="B8" s="17" t="n">
        <f aca="false">SUM(B5:B7)</f>
        <v>256146709.09</v>
      </c>
      <c r="C8" s="17" t="n">
        <f aca="false">SUM(C5:C7)</f>
        <v>258708176.1809</v>
      </c>
      <c r="D8" s="17" t="n">
        <f aca="false">SUM(D5:D7)</f>
        <v>261295257.942709</v>
      </c>
      <c r="E8" s="17" t="n">
        <f aca="false">SUM(E5:E7)</f>
        <v>263908210.522136</v>
      </c>
      <c r="F8" s="17" t="n">
        <f aca="false">SUM(F5:F7)</f>
        <v>266547292.627357</v>
      </c>
      <c r="G8" s="17" t="n">
        <f aca="false">SUM(G5:G7)</f>
        <v>269212765.553631</v>
      </c>
      <c r="H8" s="17" t="n">
        <f aca="false">SUM(H5:H7)</f>
        <v>271904893.209167</v>
      </c>
      <c r="I8" s="17" t="n">
        <f aca="false">SUM(I5:I7)</f>
        <v>274623942.141259</v>
      </c>
      <c r="J8" s="17" t="n">
        <f aca="false">SUM(J5:J7)</f>
        <v>277370181.562672</v>
      </c>
      <c r="K8" s="17" t="n">
        <f aca="false">SUM(K5:K7)</f>
        <v>280143883.378298</v>
      </c>
      <c r="L8" s="17" t="n">
        <f aca="false">SUM(L5:L7)</f>
        <v>282945322.212081</v>
      </c>
      <c r="M8" s="17" t="n">
        <f aca="false">SUM(M5:M7)</f>
        <v>285774775.434202</v>
      </c>
      <c r="N8" s="17" t="n">
        <f aca="false">SUM(N5:N7)</f>
        <v>288632523.188544</v>
      </c>
    </row>
    <row r="10" customFormat="false" ht="15" hidden="false" customHeight="false" outlineLevel="0" collapsed="false">
      <c r="A10" s="3" t="s">
        <v>53</v>
      </c>
      <c r="C10" s="28" t="n">
        <f aca="false">C5*$B$13/12*(1-$B$18)+C6*$B$14/12*(1-$B$19)+C7*$B$15/12*(1-$B$20)</f>
        <v>1514579.799496</v>
      </c>
      <c r="D10" s="28" t="n">
        <f aca="false">D5*$B$13/12*(1-$B$18)+D6*$B$14/12*(1-$B$19)+D7*$B$15/12*(1-$B$20)</f>
        <v>1529725.59749096</v>
      </c>
      <c r="E10" s="28" t="n">
        <f aca="false">E5*$B$13/12*(1-$B$18)+E6*$B$14/12*(1-$B$19)+E7*$B$15/12*(1-$B$20)</f>
        <v>1545022.85346587</v>
      </c>
      <c r="F10" s="28" t="n">
        <f aca="false">F5*$B$13/12*(1-$B$18)+F6*$B$14/12*(1-$B$19)+F7*$B$15/12*(1-$B$20)</f>
        <v>1560473.08200053</v>
      </c>
      <c r="G10" s="28" t="n">
        <f aca="false">G5*$B$13/12*(1-$B$18)+G6*$B$14/12*(1-$B$19)+G7*$B$15/12*(1-$B$20)</f>
        <v>1576077.81282053</v>
      </c>
      <c r="H10" s="28" t="n">
        <f aca="false">H5*$B$13/12*(1-$B$18)+H6*$B$14/12*(1-$B$19)+H7*$B$15/12*(1-$B$20)</f>
        <v>1591838.59094874</v>
      </c>
      <c r="I10" s="28" t="n">
        <f aca="false">I5*$B$13/12*(1-$B$18)+I6*$B$14/12*(1-$B$19)+I7*$B$15/12*(1-$B$20)</f>
        <v>1607756.97685823</v>
      </c>
      <c r="J10" s="28" t="n">
        <f aca="false">J5*$B$13/12*(1-$B$18)+J6*$B$14/12*(1-$B$19)+J7*$B$15/12*(1-$B$20)</f>
        <v>1623834.54662681</v>
      </c>
      <c r="K10" s="28" t="n">
        <f aca="false">K5*$B$13/12*(1-$B$18)+K6*$B$14/12*(1-$B$19)+K7*$B$15/12*(1-$B$20)</f>
        <v>1640072.89209308</v>
      </c>
      <c r="L10" s="28" t="n">
        <f aca="false">L5*$B$13/12*(1-$B$18)+L6*$B$14/12*(1-$B$19)+L7*$B$15/12*(1-$B$20)</f>
        <v>1656473.62101401</v>
      </c>
      <c r="M10" s="28" t="n">
        <f aca="false">M5*$B$13/12*(1-$B$18)+M6*$B$14/12*(1-$B$19)+M7*$B$15/12*(1-$B$20)</f>
        <v>1673038.35722415</v>
      </c>
      <c r="N10" s="28" t="n">
        <f aca="false">N5*$B$13/12*(1-$B$18)+N6*$B$14/12*(1-$B$19)+N7*$B$15/12*(1-$B$20)</f>
        <v>1689768.74079639</v>
      </c>
    </row>
    <row r="12" customFormat="false" ht="15" hidden="false" customHeight="false" outlineLevel="0" collapsed="false">
      <c r="A12" s="3" t="s">
        <v>54</v>
      </c>
    </row>
    <row r="13" customFormat="false" ht="15" hidden="false" customHeight="false" outlineLevel="0" collapsed="false">
      <c r="A13" s="29" t="s">
        <v>23</v>
      </c>
      <c r="B13" s="30" t="n">
        <f aca="false">'Portfolio Summary'!D5+Assumptions!$B$14/10000</f>
        <v>0.0613</v>
      </c>
    </row>
    <row r="14" customFormat="false" ht="15" hidden="false" customHeight="false" outlineLevel="0" collapsed="false">
      <c r="A14" s="29" t="s">
        <v>24</v>
      </c>
      <c r="B14" s="30" t="n">
        <f aca="false">'Portfolio Summary'!D6+Assumptions!$B$14/10000</f>
        <v>0.1061</v>
      </c>
    </row>
    <row r="15" customFormat="false" ht="15" hidden="false" customHeight="false" outlineLevel="0" collapsed="false">
      <c r="A15" s="29" t="s">
        <v>25</v>
      </c>
      <c r="B15" s="30" t="n">
        <f aca="false">'Portfolio Summary'!D7+Assumptions!$B$14/10000</f>
        <v>0.1599</v>
      </c>
    </row>
    <row r="17" customFormat="false" ht="15" hidden="false" customHeight="false" outlineLevel="0" collapsed="false">
      <c r="A17" s="3" t="s">
        <v>55</v>
      </c>
    </row>
    <row r="18" customFormat="false" ht="15" hidden="false" customHeight="false" outlineLevel="0" collapsed="false">
      <c r="A18" s="29" t="s">
        <v>23</v>
      </c>
      <c r="B18" s="22" t="n">
        <f aca="false">'Portfolio Summary'!E5*Assumptions!$B$15</f>
        <v>0.0978</v>
      </c>
    </row>
    <row r="19" customFormat="false" ht="15" hidden="false" customHeight="false" outlineLevel="0" collapsed="false">
      <c r="A19" s="29" t="s">
        <v>24</v>
      </c>
      <c r="B19" s="22" t="n">
        <f aca="false">'Portfolio Summary'!E6*Assumptions!$B$15</f>
        <v>0.1968</v>
      </c>
    </row>
    <row r="20" customFormat="false" ht="15" hidden="false" customHeight="false" outlineLevel="0" collapsed="false">
      <c r="A20" s="29" t="s">
        <v>25</v>
      </c>
      <c r="B20" s="22" t="n">
        <f aca="false">'Portfolio Summary'!E7*Assumptions!$B$15</f>
        <v>0.3718</v>
      </c>
    </row>
    <row r="21" customFormat="false" ht="15" hidden="false" customHeight="false" outlineLevel="0" collapsed="false">
      <c r="A21" s="3" t="s">
        <v>56</v>
      </c>
      <c r="C21" s="17" t="n">
        <f aca="false">C10</f>
        <v>1514579.799496</v>
      </c>
      <c r="D21" s="17" t="n">
        <f aca="false">C21+D10</f>
        <v>3044305.39698696</v>
      </c>
      <c r="E21" s="17" t="n">
        <f aca="false">D21+E10</f>
        <v>4589328.25045283</v>
      </c>
      <c r="F21" s="17" t="n">
        <f aca="false">E21+F10</f>
        <v>6149801.33245335</v>
      </c>
      <c r="G21" s="17" t="n">
        <f aca="false">F21+G10</f>
        <v>7725879.14527389</v>
      </c>
      <c r="H21" s="17" t="n">
        <f aca="false">G21+H10</f>
        <v>9317717.73622263</v>
      </c>
      <c r="I21" s="17" t="n">
        <f aca="false">H21+I10</f>
        <v>10925474.7130809</v>
      </c>
      <c r="J21" s="17" t="n">
        <f aca="false">I21+J10</f>
        <v>12549309.2597077</v>
      </c>
      <c r="K21" s="17" t="n">
        <f aca="false">J21+K10</f>
        <v>14189382.1518007</v>
      </c>
      <c r="L21" s="17" t="n">
        <f aca="false">K21+L10</f>
        <v>15845855.7728147</v>
      </c>
      <c r="M21" s="17" t="n">
        <f aca="false">L21+M10</f>
        <v>17518894.1300389</v>
      </c>
      <c r="N21" s="17" t="n">
        <f aca="false">M21+N10</f>
        <v>19208662.8708353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6"/>
  </cols>
  <sheetData>
    <row r="1" customFormat="false" ht="17.35" hidden="false" customHeight="false" outlineLevel="0" collapsed="false">
      <c r="A1" s="1" t="s">
        <v>57</v>
      </c>
    </row>
    <row r="2" customFormat="false" ht="15" hidden="false" customHeight="false" outlineLevel="0" collapsed="false">
      <c r="A2" s="9" t="s">
        <v>58</v>
      </c>
    </row>
    <row r="4" customFormat="false" ht="15" hidden="false" customHeight="false" outlineLevel="0" collapsed="false">
      <c r="A4" s="10" t="s">
        <v>59</v>
      </c>
      <c r="B4" s="10" t="s">
        <v>60</v>
      </c>
      <c r="C4" s="10" t="s">
        <v>61</v>
      </c>
      <c r="D4" s="10" t="s">
        <v>62</v>
      </c>
      <c r="E4" s="10" t="s">
        <v>63</v>
      </c>
      <c r="F4" s="10" t="s">
        <v>64</v>
      </c>
    </row>
    <row r="5" customFormat="false" ht="15" hidden="false" customHeight="false" outlineLevel="0" collapsed="false">
      <c r="A5" s="31" t="s">
        <v>65</v>
      </c>
      <c r="B5" s="27" t="n">
        <f aca="false">'Portfolio Summary'!C5*('Portfolio Summary'!D5+-100/10000)*(1-'Portfolio Summary'!E5*0.8)+'Portfolio Summary'!C6*('Portfolio Summary'!D6+-100/10000)*(1-'Portfolio Summary'!E6*0.8)+'Portfolio Summary'!C7*('Portfolio Summary'!D7+-100/10000)*(1-'Portfolio Summary'!E7*0.8)</f>
        <v>16626551.4099698</v>
      </c>
      <c r="C5" s="27" t="n">
        <f aca="false">'Portfolio Summary'!C5*('Portfolio Summary'!D5+-50/10000)*(1-'Portfolio Summary'!E5*0.8)+'Portfolio Summary'!C6*('Portfolio Summary'!D6+-50/10000)*(1-'Portfolio Summary'!E6*0.8)+'Portfolio Summary'!C7*('Portfolio Summary'!D7+-50/10000)*(1-'Portfolio Summary'!E7*0.8)</f>
        <v>17742329.7287785</v>
      </c>
      <c r="D5" s="27" t="n">
        <f aca="false">'Portfolio Summary'!C5*('Portfolio Summary'!D5+0/10000)*(1-'Portfolio Summary'!E5*0.8)+'Portfolio Summary'!C6*('Portfolio Summary'!D6+0/10000)*(1-'Portfolio Summary'!E6*0.8)+'Portfolio Summary'!C7*('Portfolio Summary'!D7+0/10000)*(1-'Portfolio Summary'!E7*0.8)</f>
        <v>18858108.0475873</v>
      </c>
      <c r="E5" s="27" t="n">
        <f aca="false">'Portfolio Summary'!C5*('Portfolio Summary'!D5+100/10000)*(1-'Portfolio Summary'!E5*0.8)+'Portfolio Summary'!C6*('Portfolio Summary'!D6+100/10000)*(1-'Portfolio Summary'!E6*0.8)+'Portfolio Summary'!C7*('Portfolio Summary'!D7+100/10000)*(1-'Portfolio Summary'!E7*0.8)</f>
        <v>21089664.6852048</v>
      </c>
      <c r="F5" s="27" t="n">
        <f aca="false">'Portfolio Summary'!C5*('Portfolio Summary'!D5+200/10000)*(1-'Portfolio Summary'!E5*0.8)+'Portfolio Summary'!C6*('Portfolio Summary'!D6+200/10000)*(1-'Portfolio Summary'!E6*0.8)+'Portfolio Summary'!C7*('Portfolio Summary'!D7+200/10000)*(1-'Portfolio Summary'!E7*0.8)</f>
        <v>23321221.3228223</v>
      </c>
    </row>
    <row r="6" customFormat="false" ht="15" hidden="false" customHeight="false" outlineLevel="0" collapsed="false">
      <c r="A6" s="31" t="s">
        <v>66</v>
      </c>
      <c r="B6" s="27" t="n">
        <f aca="false">'Portfolio Summary'!C5*('Portfolio Summary'!D5+-100/10000)*(1-'Portfolio Summary'!E5*1)+'Portfolio Summary'!C6*('Portfolio Summary'!D6+-100/10000)*(1-'Portfolio Summary'!E6*1)+'Portfolio Summary'!C7*('Portfolio Summary'!D7+-100/10000)*(1-'Portfolio Summary'!E7*1)</f>
        <v>15845928.4944675</v>
      </c>
      <c r="C6" s="27" t="n">
        <f aca="false">'Portfolio Summary'!C5*('Portfolio Summary'!D5+-50/10000)*(1-'Portfolio Summary'!E5*1)+'Portfolio Summary'!C6*('Portfolio Summary'!D6+-50/10000)*(1-'Portfolio Summary'!E6*1)+'Portfolio Summary'!C7*('Portfolio Summary'!D7+-50/10000)*(1-'Portfolio Summary'!E7*1)</f>
        <v>16920468.0066159</v>
      </c>
      <c r="D6" s="27" t="n">
        <f aca="false">'Portfolio Summary'!C5*('Portfolio Summary'!D5+0/10000)*(1-'Portfolio Summary'!E5*1)+'Portfolio Summary'!C6*('Portfolio Summary'!D6+0/10000)*(1-'Portfolio Summary'!E6*1)+'Portfolio Summary'!C7*('Portfolio Summary'!D7+0/10000)*(1-'Portfolio Summary'!E7*1)</f>
        <v>17995007.5187643</v>
      </c>
      <c r="E6" s="27" t="n">
        <f aca="false">'Portfolio Summary'!C5*('Portfolio Summary'!D5+100/10000)*(1-'Portfolio Summary'!E5*1)+'Portfolio Summary'!C6*('Portfolio Summary'!D6+100/10000)*(1-'Portfolio Summary'!E6*1)+'Portfolio Summary'!C7*('Portfolio Summary'!D7+100/10000)*(1-'Portfolio Summary'!E7*1)</f>
        <v>20144086.5430612</v>
      </c>
      <c r="F6" s="27" t="n">
        <f aca="false">'Portfolio Summary'!C5*('Portfolio Summary'!D5+200/10000)*(1-'Portfolio Summary'!E5*1)+'Portfolio Summary'!C6*('Portfolio Summary'!D6+200/10000)*(1-'Portfolio Summary'!E6*1)+'Portfolio Summary'!C7*('Portfolio Summary'!D7+200/10000)*(1-'Portfolio Summary'!E7*1)</f>
        <v>22293165.5673581</v>
      </c>
    </row>
    <row r="7" customFormat="false" ht="15" hidden="false" customHeight="false" outlineLevel="0" collapsed="false">
      <c r="A7" s="31" t="s">
        <v>67</v>
      </c>
      <c r="B7" s="27" t="n">
        <f aca="false">'Portfolio Summary'!C5*('Portfolio Summary'!D5+-100/10000)*(1-'Portfolio Summary'!E5*1.2)+'Portfolio Summary'!C6*('Portfolio Summary'!D6+-100/10000)*(1-'Portfolio Summary'!E6*1.2)+'Portfolio Summary'!C7*('Portfolio Summary'!D7+-100/10000)*(1-'Portfolio Summary'!E7*1.2)</f>
        <v>15065305.5789652</v>
      </c>
      <c r="C7" s="27" t="n">
        <f aca="false">'Portfolio Summary'!C5*('Portfolio Summary'!D5+-50/10000)*(1-'Portfolio Summary'!E5*1.2)+'Portfolio Summary'!C6*('Portfolio Summary'!D6+-50/10000)*(1-'Portfolio Summary'!E6*1.2)+'Portfolio Summary'!C7*('Portfolio Summary'!D7+-50/10000)*(1-'Portfolio Summary'!E7*1.2)</f>
        <v>16098606.2844533</v>
      </c>
      <c r="D7" s="27" t="n">
        <f aca="false">'Portfolio Summary'!C5*('Portfolio Summary'!D5+0/10000)*(1-'Portfolio Summary'!E5*1.2)+'Portfolio Summary'!C6*('Portfolio Summary'!D6+0/10000)*(1-'Portfolio Summary'!E6*1.2)+'Portfolio Summary'!C7*('Portfolio Summary'!D7+0/10000)*(1-'Portfolio Summary'!E7*1.2)</f>
        <v>17131906.9899414</v>
      </c>
      <c r="E7" s="27" t="n">
        <f aca="false">'Portfolio Summary'!C5*('Portfolio Summary'!D5+100/10000)*(1-'Portfolio Summary'!E5*1.2)+'Portfolio Summary'!C6*('Portfolio Summary'!D6+100/10000)*(1-'Portfolio Summary'!E6*1.2)+'Portfolio Summary'!C7*('Portfolio Summary'!D7+100/10000)*(1-'Portfolio Summary'!E7*1.2)</f>
        <v>19198508.4009177</v>
      </c>
      <c r="F7" s="27" t="n">
        <f aca="false">'Portfolio Summary'!C5*('Portfolio Summary'!D5+200/10000)*(1-'Portfolio Summary'!E5*1.2)+'Portfolio Summary'!C6*('Portfolio Summary'!D6+200/10000)*(1-'Portfolio Summary'!E6*1.2)+'Portfolio Summary'!C7*('Portfolio Summary'!D7+200/10000)*(1-'Portfolio Summary'!E7*1.2)</f>
        <v>21265109.8118939</v>
      </c>
    </row>
    <row r="8" customFormat="false" ht="15" hidden="false" customHeight="false" outlineLevel="0" collapsed="false">
      <c r="A8" s="31" t="s">
        <v>68</v>
      </c>
      <c r="B8" s="27" t="n">
        <f aca="false">'Portfolio Summary'!C5*('Portfolio Summary'!D5+-100/10000)*(1-'Portfolio Summary'!E5*1.4)+'Portfolio Summary'!C6*('Portfolio Summary'!D6+-100/10000)*(1-'Portfolio Summary'!E6*1.4)+'Portfolio Summary'!C7*('Portfolio Summary'!D7+-100/10000)*(1-'Portfolio Summary'!E7*1.4)</f>
        <v>14284682.6634628</v>
      </c>
      <c r="C8" s="27" t="n">
        <f aca="false">'Portfolio Summary'!C5*('Portfolio Summary'!D5+-50/10000)*(1-'Portfolio Summary'!E5*1.4)+'Portfolio Summary'!C6*('Portfolio Summary'!D6+-50/10000)*(1-'Portfolio Summary'!E6*1.4)+'Portfolio Summary'!C7*('Portfolio Summary'!D7+-50/10000)*(1-'Portfolio Summary'!E7*1.4)</f>
        <v>15276744.5622907</v>
      </c>
      <c r="D8" s="27" t="n">
        <f aca="false">'Portfolio Summary'!C5*('Portfolio Summary'!D5+0/10000)*(1-'Portfolio Summary'!E5*1.4)+'Portfolio Summary'!C6*('Portfolio Summary'!D6+0/10000)*(1-'Portfolio Summary'!E6*1.4)+'Portfolio Summary'!C7*('Portfolio Summary'!D7+0/10000)*(1-'Portfolio Summary'!E7*1.4)</f>
        <v>16268806.4611185</v>
      </c>
      <c r="E8" s="27" t="n">
        <f aca="false">'Portfolio Summary'!C5*('Portfolio Summary'!D5+100/10000)*(1-'Portfolio Summary'!E5*1.4)+'Portfolio Summary'!C6*('Portfolio Summary'!D6+100/10000)*(1-'Portfolio Summary'!E6*1.4)+'Portfolio Summary'!C7*('Portfolio Summary'!D7+100/10000)*(1-'Portfolio Summary'!E7*1.4)</f>
        <v>18252930.2587741</v>
      </c>
      <c r="F8" s="27" t="n">
        <f aca="false">'Portfolio Summary'!C5*('Portfolio Summary'!D5+200/10000)*(1-'Portfolio Summary'!E5*1.4)+'Portfolio Summary'!C6*('Portfolio Summary'!D6+200/10000)*(1-'Portfolio Summary'!E6*1.4)+'Portfolio Summary'!C7*('Portfolio Summary'!D7+200/10000)*(1-'Portfolio Summary'!E7*1.4)</f>
        <v>20237054.0564297</v>
      </c>
    </row>
    <row r="9" customFormat="false" ht="15" hidden="false" customHeight="false" outlineLevel="0" collapsed="false">
      <c r="A9" s="31" t="s">
        <v>69</v>
      </c>
      <c r="B9" s="27" t="n">
        <f aca="false">'Portfolio Summary'!C5*('Portfolio Summary'!D5+-100/10000)*(1-'Portfolio Summary'!E5*1.6)+'Portfolio Summary'!C6*('Portfolio Summary'!D6+-100/10000)*(1-'Portfolio Summary'!E6*1.6)+'Portfolio Summary'!C7*('Portfolio Summary'!D7+-100/10000)*(1-'Portfolio Summary'!E7*1.6)</f>
        <v>13504059.7479605</v>
      </c>
      <c r="C9" s="27" t="n">
        <f aca="false">'Portfolio Summary'!C5*('Portfolio Summary'!D5+-50/10000)*(1-'Portfolio Summary'!E5*1.6)+'Portfolio Summary'!C6*('Portfolio Summary'!D6+-50/10000)*(1-'Portfolio Summary'!E6*1.6)+'Portfolio Summary'!C7*('Portfolio Summary'!D7+-50/10000)*(1-'Portfolio Summary'!E7*1.6)</f>
        <v>14454882.840128</v>
      </c>
      <c r="D9" s="27" t="n">
        <f aca="false">'Portfolio Summary'!C5*('Portfolio Summary'!D5+0/10000)*(1-'Portfolio Summary'!E5*1.6)+'Portfolio Summary'!C6*('Portfolio Summary'!D6+0/10000)*(1-'Portfolio Summary'!E6*1.6)+'Portfolio Summary'!C7*('Portfolio Summary'!D7+0/10000)*(1-'Portfolio Summary'!E7*1.6)</f>
        <v>15405705.9322955</v>
      </c>
      <c r="E9" s="27" t="n">
        <f aca="false">'Portfolio Summary'!C5*('Portfolio Summary'!D5+100/10000)*(1-'Portfolio Summary'!E5*1.6)+'Portfolio Summary'!C6*('Portfolio Summary'!D6+100/10000)*(1-'Portfolio Summary'!E6*1.6)+'Portfolio Summary'!C7*('Portfolio Summary'!D7+100/10000)*(1-'Portfolio Summary'!E7*1.6)</f>
        <v>17307352.1166306</v>
      </c>
      <c r="F9" s="27" t="n">
        <f aca="false">'Portfolio Summary'!C5*('Portfolio Summary'!D5+200/10000)*(1-'Portfolio Summary'!E5*1.6)+'Portfolio Summary'!C6*('Portfolio Summary'!D6+200/10000)*(1-'Portfolio Summary'!E6*1.6)+'Portfolio Summary'!C7*('Portfolio Summary'!D7+200/10000)*(1-'Portfolio Summary'!E7*1.6)</f>
        <v>19208998.3009656</v>
      </c>
    </row>
    <row r="11" customFormat="false" ht="30" hidden="false" customHeight="true" outlineLevel="0" collapsed="false">
      <c r="A11" s="8" t="s">
        <v>70</v>
      </c>
      <c r="B11" s="8"/>
      <c r="C11" s="8"/>
      <c r="D11" s="8"/>
      <c r="E11" s="8"/>
      <c r="F11" s="8"/>
    </row>
  </sheetData>
  <mergeCells count="1"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71</v>
      </c>
    </row>
    <row r="2" customFormat="false" ht="15" hidden="false" customHeight="false" outlineLevel="0" collapsed="false">
      <c r="A2" s="25" t="str">
        <f aca="false">"Scenario: "&amp;Assumptions!$B$3</f>
        <v>Scenario: Base</v>
      </c>
    </row>
    <row r="4" customFormat="false" ht="15" hidden="false" customHeight="false" outlineLevel="0" collapsed="false">
      <c r="A4" s="31" t="s">
        <v>72</v>
      </c>
      <c r="B4" s="32" t="n">
        <f aca="false">'Revenue Forecast'!B8</f>
        <v>256146709.09</v>
      </c>
    </row>
    <row r="5" customFormat="false" ht="15" hidden="false" customHeight="false" outlineLevel="0" collapsed="false">
      <c r="A5" s="31" t="s">
        <v>73</v>
      </c>
      <c r="B5" s="32" t="n">
        <f aca="false">'Revenue Forecast'!N8</f>
        <v>288632523.188544</v>
      </c>
    </row>
    <row r="6" customFormat="false" ht="15" hidden="false" customHeight="false" outlineLevel="0" collapsed="false">
      <c r="A6" s="31" t="s">
        <v>74</v>
      </c>
      <c r="B6" s="32" t="n">
        <f aca="false">'Revenue Forecast'!N21</f>
        <v>19208662.8708353</v>
      </c>
    </row>
    <row r="7" customFormat="false" ht="15" hidden="false" customHeight="false" outlineLevel="0" collapsed="false">
      <c r="A7" s="31" t="s">
        <v>75</v>
      </c>
      <c r="B7" s="33" t="n">
        <f aca="false">'Portfolio Summary'!D8</f>
        <v>0.0871005145533217</v>
      </c>
    </row>
    <row r="8" customFormat="false" ht="15" hidden="false" customHeight="false" outlineLevel="0" collapsed="false">
      <c r="A8" s="31" t="s">
        <v>76</v>
      </c>
      <c r="B8" s="33" t="n">
        <f aca="false">'Portfolio Summary'!E8</f>
        <v>0.160996824073279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2026-08-15T12:16:21Z</dcterms:created>
  <dc:creator>openpyxl</dc:creator>
  <dc:description/>
  <dc:language>en-US</dc:language>
  <cp:lastModifiedBy/>
  <dcterms:modified xsi:type="dcterms:W3CDTF">2026-08-15T12:16:23Z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